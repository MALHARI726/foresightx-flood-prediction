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egaon &amp; Basin Rain Gauges" sheetId="1" state="visible" r:id="rId1"/>
    <sheet xmlns:r="http://schemas.openxmlformats.org/officeDocument/2006/relationships" name="Malegaon Monthly Rainf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E0ECF8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F5597"/>
        <bgColor rgb="002F5597"/>
      </patternFill>
    </fill>
    <fill>
      <patternFill patternType="solid">
        <fgColor rgb="00F2F5F9"/>
        <bgColor rgb="00F2F5F9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4">
    <border>
      <left/>
      <right/>
      <top/>
      <bottom/>
      <diagonal/>
    </border>
    <border>
      <left style="thin">
        <color rgb="001B365D"/>
      </left>
      <right style="thin">
        <color rgb="001B365D"/>
      </right>
      <top style="medium">
        <color rgb="001B365D"/>
      </top>
      <bottom style="medium">
        <color rgb="001B365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164" fontId="5" fillId="0" borderId="2" applyAlignment="1" pivotButton="0" quotePrefix="0" xfId="0">
      <alignment horizontal="right" vertical="center"/>
    </xf>
    <xf numFmtId="3" fontId="4" fillId="0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164" fontId="5" fillId="4" borderId="2" applyAlignment="1" pivotButton="0" quotePrefix="0" xfId="0">
      <alignment horizontal="right" vertical="center"/>
    </xf>
    <xf numFmtId="3" fontId="4" fillId="4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165" fontId="4" fillId="0" borderId="2" applyAlignment="1" pivotButton="0" quotePrefix="0" xfId="0">
      <alignment horizontal="right" vertical="center"/>
    </xf>
    <xf numFmtId="165" fontId="5" fillId="5" borderId="2" applyAlignment="1" pivotButton="0" quotePrefix="0" xfId="0">
      <alignment horizontal="right" vertical="center"/>
    </xf>
    <xf numFmtId="165" fontId="4" fillId="4" borderId="2" applyAlignment="1" pivotButton="0" quotePrefix="0" xfId="0">
      <alignment horizontal="right" vertical="center"/>
    </xf>
    <xf numFmtId="165" fontId="5" fillId="6" borderId="2" applyAlignment="1" pivotButton="0" quotePrefix="0" xfId="0">
      <alignment horizontal="right" vertical="center"/>
    </xf>
    <xf numFmtId="0" fontId="5" fillId="7" borderId="3" applyAlignment="1" pivotButton="0" quotePrefix="0" xfId="0">
      <alignment horizontal="center" vertical="center" wrapText="1"/>
    </xf>
    <xf numFmtId="165" fontId="5" fillId="7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7" customWidth="1" min="3" max="3"/>
    <col width="18" customWidth="1" min="4" max="4"/>
    <col width="16" customWidth="1" min="5" max="5"/>
    <col width="28" customWidth="1" min="6" max="6"/>
    <col width="38" customWidth="1" min="7" max="7"/>
  </cols>
  <sheetData>
    <row r="1" ht="36" customHeight="1">
      <c r="A1" s="1" t="inlineStr">
        <is>
          <t>MALEGAON &amp; GIRNA BASIN - RAIN GAUGES &amp; WEATHER STATIONS</t>
        </is>
      </c>
    </row>
    <row r="2" ht="22" customHeight="1">
      <c r="A2" s="2" t="inlineStr">
        <is>
          <t>Official IMD / Mahavedh / WRD Gauges monitoring precipitation across Malegaon &amp; Upstream Dams (WGS-84)</t>
        </is>
      </c>
    </row>
    <row r="3"/>
    <row r="4" ht="28" customHeight="1">
      <c r="A4" s="3" t="inlineStr">
        <is>
          <t>Station / Rain Gauge Location</t>
        </is>
      </c>
      <c r="B4" s="3" t="inlineStr">
        <is>
          <t>Agency / Operator</t>
        </is>
      </c>
      <c r="C4" s="3" t="inlineStr">
        <is>
          <t>Latitude (° N)</t>
        </is>
      </c>
      <c r="D4" s="3" t="inlineStr">
        <is>
          <t>Longitude (° E)</t>
        </is>
      </c>
      <c r="E4" s="3" t="inlineStr">
        <is>
          <t>Elevation (m)</t>
        </is>
      </c>
      <c r="F4" s="3" t="inlineStr">
        <is>
          <t>Drainage / River Basin</t>
        </is>
      </c>
      <c r="G4" s="3" t="inlineStr">
        <is>
          <t>Station Purpose &amp; Network</t>
        </is>
      </c>
    </row>
    <row r="5" ht="22" customHeight="1">
      <c r="A5" s="4" t="inlineStr">
        <is>
          <t>Malegaon IMD Observatory (Camp)</t>
        </is>
      </c>
      <c r="B5" s="5" t="inlineStr">
        <is>
          <t>IMD Pune / Delhi</t>
        </is>
      </c>
      <c r="C5" s="6" t="n">
        <v>20.5535</v>
      </c>
      <c r="D5" s="6" t="n">
        <v>74.52979999999999</v>
      </c>
      <c r="E5" s="7" t="n">
        <v>438</v>
      </c>
      <c r="F5" s="4" t="inlineStr">
        <is>
          <t>Mosam River Basin</t>
        </is>
      </c>
      <c r="G5" s="4" t="inlineStr">
        <is>
          <t>Principal IMD Synoptic / Agromet Station</t>
        </is>
      </c>
    </row>
    <row r="6" ht="22" customHeight="1">
      <c r="A6" s="8" t="inlineStr">
        <is>
          <t>Malegaon Agri Research Station</t>
        </is>
      </c>
      <c r="B6" s="9" t="inlineStr">
        <is>
          <t>Mahavedh / MPKV</t>
        </is>
      </c>
      <c r="C6" s="10" t="n">
        <v>20.5642</v>
      </c>
      <c r="D6" s="10" t="n">
        <v>74.541</v>
      </c>
      <c r="E6" s="11" t="n">
        <v>442</v>
      </c>
      <c r="F6" s="8" t="inlineStr">
        <is>
          <t>Girna-Mosam Floodplain</t>
        </is>
      </c>
      <c r="G6" s="8" t="inlineStr">
        <is>
          <t>Automated Weather Station (AWS)</t>
        </is>
      </c>
    </row>
    <row r="7" ht="22" customHeight="1">
      <c r="A7" s="4" t="inlineStr">
        <is>
          <t>Chankapur Dam Gauge Station</t>
        </is>
      </c>
      <c r="B7" s="5" t="inlineStr">
        <is>
          <t>Maharashtra WRD</t>
        </is>
      </c>
      <c r="C7" s="6" t="n">
        <v>20.5218</v>
      </c>
      <c r="D7" s="6" t="n">
        <v>73.9924</v>
      </c>
      <c r="E7" s="7" t="n">
        <v>610</v>
      </c>
      <c r="F7" s="4" t="inlineStr">
        <is>
          <t>Girna River Catchment</t>
        </is>
      </c>
      <c r="G7" s="4" t="inlineStr">
        <is>
          <t>Upstream Reservoir Inflow Telemetry</t>
        </is>
      </c>
    </row>
    <row r="8" ht="22" customHeight="1">
      <c r="A8" s="8" t="inlineStr">
        <is>
          <t>Haranbari Dam Gauge Station</t>
        </is>
      </c>
      <c r="B8" s="9" t="inlineStr">
        <is>
          <t>Maharashtra WRD</t>
        </is>
      </c>
      <c r="C8" s="10" t="n">
        <v>20.8124</v>
      </c>
      <c r="D8" s="10" t="n">
        <v>74.01560000000001</v>
      </c>
      <c r="E8" s="11" t="n">
        <v>625</v>
      </c>
      <c r="F8" s="8" t="inlineStr">
        <is>
          <t>Mosam River Catchment</t>
        </is>
      </c>
      <c r="G8" s="8" t="inlineStr">
        <is>
          <t>Mosam Flash Runoff Early-Warning</t>
        </is>
      </c>
    </row>
    <row r="9" ht="22" customHeight="1">
      <c r="A9" s="4" t="inlineStr">
        <is>
          <t>Girna Dam Gauge (Jamda/Nandgaon)</t>
        </is>
      </c>
      <c r="B9" s="5" t="inlineStr">
        <is>
          <t>Maharashtra WRD</t>
        </is>
      </c>
      <c r="C9" s="6" t="n">
        <v>20.4851</v>
      </c>
      <c r="D9" s="6" t="n">
        <v>74.71250000000001</v>
      </c>
      <c r="E9" s="7" t="n">
        <v>395</v>
      </c>
      <c r="F9" s="4" t="inlineStr">
        <is>
          <t>Girna River Major Basin</t>
        </is>
      </c>
      <c r="G9" s="4" t="inlineStr">
        <is>
          <t>Major Storage &amp; Discharge Telemetry</t>
        </is>
      </c>
    </row>
    <row r="10" ht="22" customHeight="1">
      <c r="A10" s="8" t="inlineStr">
        <is>
          <t>Kelzar Dam Rain Gauge</t>
        </is>
      </c>
      <c r="B10" s="9" t="inlineStr">
        <is>
          <t>Maharashtra WRD</t>
        </is>
      </c>
      <c r="C10" s="10" t="n">
        <v>20.7321</v>
      </c>
      <c r="D10" s="10" t="n">
        <v>74.1845</v>
      </c>
      <c r="E10" s="11" t="n">
        <v>580</v>
      </c>
      <c r="F10" s="8" t="inlineStr">
        <is>
          <t>Aram River Sub-basin</t>
        </is>
      </c>
      <c r="G10" s="8" t="inlineStr">
        <is>
          <t>Tributary Inflow Monitoring</t>
        </is>
      </c>
    </row>
    <row r="11" ht="22" customHeight="1">
      <c r="A11" s="4" t="inlineStr">
        <is>
          <t>Satana (Baglan) Weather Station</t>
        </is>
      </c>
      <c r="B11" s="5" t="inlineStr">
        <is>
          <t>IMD / Mahavedh</t>
        </is>
      </c>
      <c r="C11" s="6" t="n">
        <v>20.5912</v>
      </c>
      <c r="D11" s="6" t="n">
        <v>74.2024</v>
      </c>
      <c r="E11" s="7" t="n">
        <v>545</v>
      </c>
      <c r="F11" s="4" t="inlineStr">
        <is>
          <t>Aram / Girna Tributary</t>
        </is>
      </c>
      <c r="G11" s="4" t="inlineStr">
        <is>
          <t>Rain-Shadow Belt AWS</t>
        </is>
      </c>
    </row>
    <row r="12" ht="22" customHeight="1">
      <c r="A12" s="8" t="inlineStr">
        <is>
          <t>Kalwan Weather Station</t>
        </is>
      </c>
      <c r="B12" s="9" t="inlineStr">
        <is>
          <t>IMD / Agriculture Dept</t>
        </is>
      </c>
      <c r="C12" s="10" t="n">
        <v>20.49</v>
      </c>
      <c r="D12" s="10" t="n">
        <v>73.98</v>
      </c>
      <c r="E12" s="11" t="n">
        <v>590</v>
      </c>
      <c r="F12" s="8" t="inlineStr">
        <is>
          <t>Girna River Valley</t>
        </is>
      </c>
      <c r="G12" s="8" t="inlineStr">
        <is>
          <t>Upstream Ghat-Edge Rain Gauge</t>
        </is>
      </c>
    </row>
    <row r="13" ht="22" customHeight="1">
      <c r="A13" s="4" t="inlineStr">
        <is>
          <t>Chandwad IMD Rain Gauge</t>
        </is>
      </c>
      <c r="B13" s="5" t="inlineStr">
        <is>
          <t>IMD / Revenue Dept</t>
        </is>
      </c>
      <c r="C13" s="6" t="n">
        <v>20.3275</v>
      </c>
      <c r="D13" s="6" t="n">
        <v>74.2418</v>
      </c>
      <c r="E13" s="7" t="n">
        <v>720</v>
      </c>
      <c r="F13" s="4" t="inlineStr">
        <is>
          <t>Girna Southern Ridge</t>
        </is>
      </c>
      <c r="G13" s="4" t="inlineStr">
        <is>
          <t>Ridge Runoff AWS</t>
        </is>
      </c>
    </row>
    <row r="14" ht="22" customHeight="1">
      <c r="A14" s="8" t="inlineStr">
        <is>
          <t>Deola Rain Gauge Station</t>
        </is>
      </c>
      <c r="B14" s="9" t="inlineStr">
        <is>
          <t>Mahavedh AWS</t>
        </is>
      </c>
      <c r="C14" s="10" t="n">
        <v>20.4632</v>
      </c>
      <c r="D14" s="10" t="n">
        <v>74.18559999999999</v>
      </c>
      <c r="E14" s="11" t="n">
        <v>510</v>
      </c>
      <c r="F14" s="8" t="inlineStr">
        <is>
          <t>Kolthi / Girna Sub-basin</t>
        </is>
      </c>
      <c r="G14" s="8" t="inlineStr">
        <is>
          <t>Tehsil Agricultural Rain Gauge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8" customWidth="1" min="14" max="14"/>
  </cols>
  <sheetData>
    <row r="1" ht="36" customHeight="1">
      <c r="A1" s="1" t="inlineStr">
        <is>
          <t>MALEGAON OBSERVATORY (NASHIK) - HISTORICAL MONTHLY &amp; ANNUAL RAINFALL (mm)</t>
        </is>
      </c>
    </row>
    <row r="2" ht="22" customHeight="1">
      <c r="A2" s="2" t="inlineStr">
        <is>
          <t>Historical Monthly Precipitation Series (2015-2025) &amp; Long-Term Climatological Baseline (~746 mm Normal)</t>
        </is>
      </c>
    </row>
    <row r="3"/>
    <row r="4" ht="26" customHeight="1">
      <c r="A4" s="3" t="inlineStr">
        <is>
          <t>Year</t>
        </is>
      </c>
      <c r="B4" s="3" t="inlineStr">
        <is>
          <t>Jan</t>
        </is>
      </c>
      <c r="C4" s="3" t="inlineStr">
        <is>
          <t>Feb</t>
        </is>
      </c>
      <c r="D4" s="3" t="inlineStr">
        <is>
          <t>Mar</t>
        </is>
      </c>
      <c r="E4" s="3" t="inlineStr">
        <is>
          <t>Apr</t>
        </is>
      </c>
      <c r="F4" s="3" t="inlineStr">
        <is>
          <t>May</t>
        </is>
      </c>
      <c r="G4" s="3" t="inlineStr">
        <is>
          <t>Jun</t>
        </is>
      </c>
      <c r="H4" s="3" t="inlineStr">
        <is>
          <t>Jul</t>
        </is>
      </c>
      <c r="I4" s="3" t="inlineStr">
        <is>
          <t>Aug</t>
        </is>
      </c>
      <c r="J4" s="3" t="inlineStr">
        <is>
          <t>Sep</t>
        </is>
      </c>
      <c r="K4" s="3" t="inlineStr">
        <is>
          <t>Oct</t>
        </is>
      </c>
      <c r="L4" s="3" t="inlineStr">
        <is>
          <t>Nov</t>
        </is>
      </c>
      <c r="M4" s="3" t="inlineStr">
        <is>
          <t>Dec</t>
        </is>
      </c>
      <c r="N4" s="3" t="inlineStr">
        <is>
          <t>Annual Total (mm)</t>
        </is>
      </c>
    </row>
    <row r="5" ht="20" customHeight="1">
      <c r="A5" s="12" t="n">
        <v>2015</v>
      </c>
      <c r="B5" s="13" t="n">
        <v>0</v>
      </c>
      <c r="C5" s="13" t="n">
        <v>0</v>
      </c>
      <c r="D5" s="13" t="n">
        <v>4</v>
      </c>
      <c r="E5" s="13" t="n">
        <v>0.6</v>
      </c>
      <c r="F5" s="13" t="n">
        <v>2.4</v>
      </c>
      <c r="G5" s="13" t="n">
        <v>112.4</v>
      </c>
      <c r="H5" s="13" t="n">
        <v>48.6</v>
      </c>
      <c r="I5" s="13" t="n">
        <v>62.4</v>
      </c>
      <c r="J5" s="13" t="n">
        <v>142.8</v>
      </c>
      <c r="K5" s="13" t="n">
        <v>38.5</v>
      </c>
      <c r="L5" s="13" t="n">
        <v>0</v>
      </c>
      <c r="M5" s="13" t="n">
        <v>0</v>
      </c>
      <c r="N5" s="14">
        <f>SUM(B5:M5)</f>
        <v/>
      </c>
    </row>
    <row r="6" ht="20" customHeight="1">
      <c r="A6" s="12" t="n">
        <v>2016</v>
      </c>
      <c r="B6" s="15" t="n">
        <v>0</v>
      </c>
      <c r="C6" s="15" t="n">
        <v>0</v>
      </c>
      <c r="D6" s="15" t="n">
        <v>1.2</v>
      </c>
      <c r="E6" s="15" t="n">
        <v>0</v>
      </c>
      <c r="F6" s="15" t="n">
        <v>8.4</v>
      </c>
      <c r="G6" s="15" t="n">
        <v>138.2</v>
      </c>
      <c r="H6" s="15" t="n">
        <v>194.5</v>
      </c>
      <c r="I6" s="15" t="n">
        <v>172.6</v>
      </c>
      <c r="J6" s="15" t="n">
        <v>148</v>
      </c>
      <c r="K6" s="15" t="n">
        <v>24.5</v>
      </c>
      <c r="L6" s="15" t="n">
        <v>0</v>
      </c>
      <c r="M6" s="15" t="n">
        <v>0</v>
      </c>
      <c r="N6" s="14">
        <f>SUM(B6:M6)</f>
        <v/>
      </c>
    </row>
    <row r="7" ht="20" customHeight="1">
      <c r="A7" s="12" t="n">
        <v>2017</v>
      </c>
      <c r="B7" s="13" t="n">
        <v>0</v>
      </c>
      <c r="C7" s="13" t="n">
        <v>0</v>
      </c>
      <c r="D7" s="13" t="n">
        <v>0</v>
      </c>
      <c r="E7" s="13" t="n">
        <v>0</v>
      </c>
      <c r="F7" s="13" t="n">
        <v>18.5</v>
      </c>
      <c r="G7" s="13" t="n">
        <v>164.2</v>
      </c>
      <c r="H7" s="13" t="n">
        <v>142.8</v>
      </c>
      <c r="I7" s="13" t="n">
        <v>135.4</v>
      </c>
      <c r="J7" s="13" t="n">
        <v>182.6</v>
      </c>
      <c r="K7" s="13" t="n">
        <v>68.40000000000001</v>
      </c>
      <c r="L7" s="13" t="n">
        <v>12</v>
      </c>
      <c r="M7" s="13" t="n">
        <v>0</v>
      </c>
      <c r="N7" s="14">
        <f>SUM(B7:M7)</f>
        <v/>
      </c>
    </row>
    <row r="8" ht="20" customHeight="1">
      <c r="A8" s="12" t="n">
        <v>2018</v>
      </c>
      <c r="B8" s="15" t="n">
        <v>0</v>
      </c>
      <c r="C8" s="15" t="n">
        <v>0</v>
      </c>
      <c r="D8" s="15" t="n">
        <v>0</v>
      </c>
      <c r="E8" s="15" t="n">
        <v>0</v>
      </c>
      <c r="F8" s="15" t="n">
        <v>12</v>
      </c>
      <c r="G8" s="15" t="n">
        <v>145.6</v>
      </c>
      <c r="H8" s="15" t="n">
        <v>118.4</v>
      </c>
      <c r="I8" s="15" t="n">
        <v>98.2</v>
      </c>
      <c r="J8" s="15" t="n">
        <v>74.5</v>
      </c>
      <c r="K8" s="15" t="n">
        <v>18.2</v>
      </c>
      <c r="L8" s="15" t="n">
        <v>0</v>
      </c>
      <c r="M8" s="15" t="n">
        <v>0</v>
      </c>
      <c r="N8" s="14">
        <f>SUM(B8:M8)</f>
        <v/>
      </c>
    </row>
    <row r="9" ht="20" customHeight="1">
      <c r="A9" s="12" t="n">
        <v>2019</v>
      </c>
      <c r="B9" s="13" t="n">
        <v>0</v>
      </c>
      <c r="C9" s="13" t="n">
        <v>0</v>
      </c>
      <c r="D9" s="13" t="n">
        <v>0</v>
      </c>
      <c r="E9" s="13" t="n">
        <v>0</v>
      </c>
      <c r="F9" s="13" t="n">
        <v>4.2</v>
      </c>
      <c r="G9" s="13" t="n">
        <v>158.4</v>
      </c>
      <c r="H9" s="16" t="n">
        <v>284.6</v>
      </c>
      <c r="I9" s="16" t="n">
        <v>262.8</v>
      </c>
      <c r="J9" s="13" t="n">
        <v>224.5</v>
      </c>
      <c r="K9" s="13" t="n">
        <v>142.8</v>
      </c>
      <c r="L9" s="13" t="n">
        <v>18.5</v>
      </c>
      <c r="M9" s="13" t="n">
        <v>0</v>
      </c>
      <c r="N9" s="14">
        <f>SUM(B9:M9)</f>
        <v/>
      </c>
    </row>
    <row r="10" ht="20" customHeight="1">
      <c r="A10" s="12" t="n">
        <v>2020</v>
      </c>
      <c r="B10" s="15" t="n">
        <v>0</v>
      </c>
      <c r="C10" s="15" t="n">
        <v>0</v>
      </c>
      <c r="D10" s="15" t="n">
        <v>2.4</v>
      </c>
      <c r="E10" s="15" t="n">
        <v>0</v>
      </c>
      <c r="F10" s="15" t="n">
        <v>14.8</v>
      </c>
      <c r="G10" s="15" t="n">
        <v>142</v>
      </c>
      <c r="H10" s="15" t="n">
        <v>168.4</v>
      </c>
      <c r="I10" s="15" t="n">
        <v>212.5</v>
      </c>
      <c r="J10" s="15" t="n">
        <v>198.6</v>
      </c>
      <c r="K10" s="15" t="n">
        <v>154.2</v>
      </c>
      <c r="L10" s="15" t="n">
        <v>6.4</v>
      </c>
      <c r="M10" s="15" t="n">
        <v>0</v>
      </c>
      <c r="N10" s="14">
        <f>SUM(B10:M10)</f>
        <v/>
      </c>
    </row>
    <row r="11" ht="20" customHeight="1">
      <c r="A11" s="12" t="n">
        <v>2021</v>
      </c>
      <c r="B11" s="13" t="n">
        <v>0</v>
      </c>
      <c r="C11" s="13" t="n">
        <v>0</v>
      </c>
      <c r="D11" s="13" t="n">
        <v>0</v>
      </c>
      <c r="E11" s="13" t="n">
        <v>0.6</v>
      </c>
      <c r="F11" s="13" t="n">
        <v>32.4</v>
      </c>
      <c r="G11" s="13" t="n">
        <v>118.5</v>
      </c>
      <c r="H11" s="13" t="n">
        <v>188.2</v>
      </c>
      <c r="I11" s="13" t="n">
        <v>94.59999999999999</v>
      </c>
      <c r="J11" s="13" t="n">
        <v>218.4</v>
      </c>
      <c r="K11" s="13" t="n">
        <v>64.2</v>
      </c>
      <c r="L11" s="13" t="n">
        <v>22.8</v>
      </c>
      <c r="M11" s="13" t="n">
        <v>2.4</v>
      </c>
      <c r="N11" s="14">
        <f>SUM(B11:M11)</f>
        <v/>
      </c>
    </row>
    <row r="12" ht="20" customHeight="1">
      <c r="A12" s="12" t="n">
        <v>2022</v>
      </c>
      <c r="B12" s="15" t="n">
        <v>0</v>
      </c>
      <c r="C12" s="15" t="n">
        <v>0</v>
      </c>
      <c r="D12" s="15" t="n">
        <v>0</v>
      </c>
      <c r="E12" s="15" t="n">
        <v>4.8</v>
      </c>
      <c r="F12" s="15" t="n">
        <v>16.2</v>
      </c>
      <c r="G12" s="15" t="n">
        <v>108.4</v>
      </c>
      <c r="H12" s="16" t="n">
        <v>292.5</v>
      </c>
      <c r="I12" s="15" t="n">
        <v>184.2</v>
      </c>
      <c r="J12" s="15" t="n">
        <v>235.8</v>
      </c>
      <c r="K12" s="15" t="n">
        <v>142.6</v>
      </c>
      <c r="L12" s="15" t="n">
        <v>0</v>
      </c>
      <c r="M12" s="15" t="n">
        <v>0</v>
      </c>
      <c r="N12" s="14">
        <f>SUM(B12:M12)</f>
        <v/>
      </c>
    </row>
    <row r="13" ht="20" customHeight="1">
      <c r="A13" s="12" t="n">
        <v>2023</v>
      </c>
      <c r="B13" s="13" t="n">
        <v>0</v>
      </c>
      <c r="C13" s="13" t="n">
        <v>0</v>
      </c>
      <c r="D13" s="13" t="n">
        <v>8.5</v>
      </c>
      <c r="E13" s="13" t="n">
        <v>12.4</v>
      </c>
      <c r="F13" s="13" t="n">
        <v>22</v>
      </c>
      <c r="G13" s="13" t="n">
        <v>94.2</v>
      </c>
      <c r="H13" s="13" t="n">
        <v>248.6</v>
      </c>
      <c r="I13" s="13" t="n">
        <v>62.4</v>
      </c>
      <c r="J13" s="13" t="n">
        <v>178.5</v>
      </c>
      <c r="K13" s="13" t="n">
        <v>18.4</v>
      </c>
      <c r="L13" s="13" t="n">
        <v>14.2</v>
      </c>
      <c r="M13" s="13" t="n">
        <v>0</v>
      </c>
      <c r="N13" s="14">
        <f>SUM(B13:M13)</f>
        <v/>
      </c>
    </row>
    <row r="14" ht="20" customHeight="1">
      <c r="A14" s="12" t="n">
        <v>2024</v>
      </c>
      <c r="B14" s="15" t="n">
        <v>0</v>
      </c>
      <c r="C14" s="15" t="n">
        <v>0</v>
      </c>
      <c r="D14" s="15" t="n">
        <v>0</v>
      </c>
      <c r="E14" s="15" t="n">
        <v>0</v>
      </c>
      <c r="F14" s="15" t="n">
        <v>38.6</v>
      </c>
      <c r="G14" s="15" t="n">
        <v>146.2</v>
      </c>
      <c r="H14" s="16" t="n">
        <v>312.4</v>
      </c>
      <c r="I14" s="15" t="n">
        <v>245.8</v>
      </c>
      <c r="J14" s="15" t="n">
        <v>184.2</v>
      </c>
      <c r="K14" s="15" t="n">
        <v>88.5</v>
      </c>
      <c r="L14" s="15" t="n">
        <v>0</v>
      </c>
      <c r="M14" s="15" t="n">
        <v>0</v>
      </c>
      <c r="N14" s="14">
        <f>SUM(B14:M14)</f>
        <v/>
      </c>
    </row>
    <row r="15" ht="20" customHeight="1">
      <c r="A15" s="12" t="n">
        <v>2025</v>
      </c>
      <c r="B15" s="13" t="n">
        <v>0</v>
      </c>
      <c r="C15" s="13" t="n">
        <v>0</v>
      </c>
      <c r="D15" s="13" t="n">
        <v>1.4</v>
      </c>
      <c r="E15" s="13" t="n">
        <v>4.2</v>
      </c>
      <c r="F15" s="13" t="n">
        <v>12.8</v>
      </c>
      <c r="G15" s="13" t="n">
        <v>124.6</v>
      </c>
      <c r="H15" s="16" t="n">
        <v>268.2</v>
      </c>
      <c r="I15" s="13" t="n">
        <v>194.5</v>
      </c>
      <c r="J15" s="13" t="n">
        <v>168.4</v>
      </c>
      <c r="K15" s="13" t="n">
        <v>54.2</v>
      </c>
      <c r="L15" s="13" t="n">
        <v>2</v>
      </c>
      <c r="M15" s="13" t="n">
        <v>0</v>
      </c>
      <c r="N15" s="14">
        <f>SUM(B15:M15)</f>
        <v/>
      </c>
    </row>
    <row r="16" ht="22" customHeight="1">
      <c r="A16" s="17" t="inlineStr">
        <is>
          <t>11-Yr Mean (mm)</t>
        </is>
      </c>
      <c r="B16" s="18">
        <f>AVERAGE(B5:B15)</f>
        <v/>
      </c>
      <c r="C16" s="18">
        <f>AVERAGE(C5:C15)</f>
        <v/>
      </c>
      <c r="D16" s="18">
        <f>AVERAGE(D5:D15)</f>
        <v/>
      </c>
      <c r="E16" s="18">
        <f>AVERAGE(E5:E15)</f>
        <v/>
      </c>
      <c r="F16" s="18">
        <f>AVERAGE(F5:F15)</f>
        <v/>
      </c>
      <c r="G16" s="18">
        <f>AVERAGE(G5:G15)</f>
        <v/>
      </c>
      <c r="H16" s="18">
        <f>AVERAGE(H5:H15)</f>
        <v/>
      </c>
      <c r="I16" s="18">
        <f>AVERAGE(I5:I15)</f>
        <v/>
      </c>
      <c r="J16" s="18">
        <f>AVERAGE(J5:J15)</f>
        <v/>
      </c>
      <c r="K16" s="18">
        <f>AVERAGE(K5:K15)</f>
        <v/>
      </c>
      <c r="L16" s="18">
        <f>AVERAGE(L5:L15)</f>
        <v/>
      </c>
      <c r="M16" s="18">
        <f>AVERAGE(M5:M15)</f>
        <v/>
      </c>
      <c r="N16" s="18">
        <f>AVERAGE(N5:N15)</f>
        <v/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2026-08-23T08:46:42Z</dcterms:created>
  <dcterms:modified xmlns:dcterms="http://purl.org/dc/terms/" xmlns:xsi="http://www.w3.org/2001/XMLSchema-instance" xsi:type="dcterms:W3CDTF">2026-08-23T08:46:42Z</dcterms:modified>
</cp:coreProperties>
</file>